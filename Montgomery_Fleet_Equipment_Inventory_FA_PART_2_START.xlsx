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Downloads\"/>
    </mc:Choice>
  </mc:AlternateContent>
  <xr:revisionPtr revIDLastSave="0" documentId="13_ncr:1_{3471E435-389B-4683-92E6-1A3C4C1D3B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<sst xmlns="http://schemas.openxmlformats.org/spreadsheetml/2006/main" count="165" uniqueCount="37">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</sst>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66.5229875" createdVersion="8" refreshedVersion="8" minRefreshableVersion="3" recordCount="49" xr:uid="{45117EE3-58BB-4F57-821F-8B3D6E096F28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E7978-B276-4804-965A-4A9D6188021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D5BBE-5CD6-4751-91D7-A9D2EC72E7C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68BFE-71B9-4750-B168-49B1C279697F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1250F-79C5-40E2-A2F7-0E7DEF97178A}" name="Table1" displayName="Table1" ref="A1:C50" totalsRowShown="0">
  <autoFilter ref="A1:C50" xr:uid="{4051250F-79C5-40E2-A2F7-0E7DEF97178A}"/>
  <tableColumns count="3">
    <tableColumn id="1" xr3:uid="{ACB725E1-8AFE-4E1A-B020-3DF9B91B1F98}" name="Department"/>
    <tableColumn id="2" xr3:uid="{82B6A856-6B5E-4F4F-B95C-143E9263FF09}" name="Equipment Class"/>
    <tableColumn id="3" xr3:uid="{5B04893A-F38D-4971-A906-A5CF75C241B4}" name="Equipment 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2" zoomScale="40" zoomScaleNormal="40" workbookViewId="0">
      <selection activeCell="H35" sqref="H35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6.90625" customWidth="1"/>
    <col min="5" max="5" width="11.90625" bestFit="1" customWidth="1"/>
    <col min="6" max="6" width="14" bestFit="1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5</v>
      </c>
      <c r="B2" t="s">
        <v>6</v>
      </c>
      <c r="C2">
        <v>21</v>
      </c>
      <c r="E2" t="s">
        <v>29</v>
      </c>
      <c r="F2">
        <f>SUM(Table1[Equipment Count])</f>
        <v>1582</v>
      </c>
    </row>
    <row r="3" spans="1:6" x14ac:dyDescent="0.35">
      <c r="A3" t="s">
        <v>5</v>
      </c>
      <c r="B3" t="s">
        <v>7</v>
      </c>
      <c r="C3">
        <v>1</v>
      </c>
      <c r="E3" t="s">
        <v>30</v>
      </c>
      <c r="F3">
        <f>AVERAGE(Table1[Equipment Count])</f>
        <v>32.285714285714285</v>
      </c>
    </row>
    <row r="4" spans="1:6" x14ac:dyDescent="0.35">
      <c r="A4" t="s">
        <v>5</v>
      </c>
      <c r="B4" t="s">
        <v>4</v>
      </c>
      <c r="C4">
        <v>23</v>
      </c>
      <c r="E4" t="s">
        <v>31</v>
      </c>
      <c r="F4">
        <f>MIN(Table1[Equipment Count])</f>
        <v>1</v>
      </c>
    </row>
    <row r="5" spans="1:6" x14ac:dyDescent="0.35">
      <c r="A5" t="s">
        <v>8</v>
      </c>
      <c r="B5" t="s">
        <v>4</v>
      </c>
      <c r="C5">
        <v>2</v>
      </c>
      <c r="E5" t="s">
        <v>32</v>
      </c>
      <c r="F5">
        <f>MAX(Table1[Equipment Count])</f>
        <v>379</v>
      </c>
    </row>
    <row r="6" spans="1:6" x14ac:dyDescent="0.35">
      <c r="A6" t="s">
        <v>9</v>
      </c>
      <c r="B6" t="s">
        <v>6</v>
      </c>
      <c r="C6">
        <v>3</v>
      </c>
      <c r="E6" t="s">
        <v>33</v>
      </c>
      <c r="F6">
        <f>COUNT(Table1[Equipment Count])</f>
        <v>49</v>
      </c>
    </row>
    <row r="7" spans="1:6" x14ac:dyDescent="0.35">
      <c r="A7" t="s">
        <v>9</v>
      </c>
      <c r="B7" t="s">
        <v>10</v>
      </c>
      <c r="C7">
        <v>2</v>
      </c>
    </row>
    <row r="8" spans="1:6" x14ac:dyDescent="0.35">
      <c r="A8" t="s">
        <v>9</v>
      </c>
      <c r="B8" t="s">
        <v>11</v>
      </c>
      <c r="C8">
        <v>1</v>
      </c>
    </row>
    <row r="9" spans="1:6" x14ac:dyDescent="0.35">
      <c r="A9" t="s">
        <v>12</v>
      </c>
      <c r="B9" t="s">
        <v>10</v>
      </c>
      <c r="C9">
        <v>2</v>
      </c>
    </row>
    <row r="10" spans="1:6" x14ac:dyDescent="0.35">
      <c r="A10" t="s">
        <v>12</v>
      </c>
      <c r="B10" t="s">
        <v>13</v>
      </c>
      <c r="C10">
        <v>42</v>
      </c>
    </row>
    <row r="11" spans="1:6" x14ac:dyDescent="0.35">
      <c r="A11" t="s">
        <v>12</v>
      </c>
      <c r="B11" t="s">
        <v>7</v>
      </c>
      <c r="C11">
        <v>1</v>
      </c>
    </row>
    <row r="12" spans="1:6" x14ac:dyDescent="0.35">
      <c r="A12" t="s">
        <v>12</v>
      </c>
      <c r="B12" t="s">
        <v>4</v>
      </c>
      <c r="C12">
        <v>11</v>
      </c>
    </row>
    <row r="13" spans="1:6" x14ac:dyDescent="0.35">
      <c r="A13" t="s">
        <v>14</v>
      </c>
      <c r="B13" t="s">
        <v>7</v>
      </c>
      <c r="C13">
        <v>1</v>
      </c>
    </row>
    <row r="14" spans="1:6" x14ac:dyDescent="0.35">
      <c r="A14" t="s">
        <v>15</v>
      </c>
      <c r="B14" t="s">
        <v>16</v>
      </c>
      <c r="C14">
        <v>9</v>
      </c>
    </row>
    <row r="15" spans="1:6" x14ac:dyDescent="0.35">
      <c r="A15" t="s">
        <v>15</v>
      </c>
      <c r="B15" t="s">
        <v>7</v>
      </c>
      <c r="C15">
        <v>27</v>
      </c>
    </row>
    <row r="16" spans="1:6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38CE-23A9-48D2-AC4D-7183086B1330}">
  <dimension ref="A3:B16"/>
  <sheetViews>
    <sheetView zoomScale="70" zoomScaleNormal="70" workbookViewId="0">
      <selection activeCell="A4" sqref="A4"/>
    </sheetView>
  </sheetViews>
  <sheetFormatPr defaultRowHeight="14.5" x14ac:dyDescent="0.35"/>
  <cols>
    <col min="1" max="1" width="27.5429687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3">
        <v>1221</v>
      </c>
    </row>
    <row r="5" spans="1:2" x14ac:dyDescent="0.35">
      <c r="A5" s="2" t="s">
        <v>15</v>
      </c>
      <c r="B5" s="3">
        <v>109</v>
      </c>
    </row>
    <row r="6" spans="1:2" x14ac:dyDescent="0.35">
      <c r="A6" s="2" t="s">
        <v>19</v>
      </c>
      <c r="B6" s="3">
        <v>85</v>
      </c>
    </row>
    <row r="7" spans="1:2" x14ac:dyDescent="0.35">
      <c r="A7" s="2" t="s">
        <v>12</v>
      </c>
      <c r="B7" s="3">
        <v>56</v>
      </c>
    </row>
    <row r="8" spans="1:2" x14ac:dyDescent="0.35">
      <c r="A8" s="2" t="s">
        <v>5</v>
      </c>
      <c r="B8" s="3">
        <v>45</v>
      </c>
    </row>
    <row r="9" spans="1:2" x14ac:dyDescent="0.35">
      <c r="A9" s="2" t="s">
        <v>18</v>
      </c>
      <c r="B9" s="3">
        <v>35</v>
      </c>
    </row>
    <row r="10" spans="1:2" x14ac:dyDescent="0.35">
      <c r="A10" s="2" t="s">
        <v>25</v>
      </c>
      <c r="B10" s="3">
        <v>16</v>
      </c>
    </row>
    <row r="11" spans="1:2" x14ac:dyDescent="0.35">
      <c r="A11" s="2" t="s">
        <v>9</v>
      </c>
      <c r="B11" s="3">
        <v>6</v>
      </c>
    </row>
    <row r="12" spans="1:2" x14ac:dyDescent="0.35">
      <c r="A12" s="2" t="s">
        <v>24</v>
      </c>
      <c r="B12" s="3">
        <v>5</v>
      </c>
    </row>
    <row r="13" spans="1:2" x14ac:dyDescent="0.35">
      <c r="A13" s="2" t="s">
        <v>8</v>
      </c>
      <c r="B13" s="3">
        <v>2</v>
      </c>
    </row>
    <row r="14" spans="1:2" x14ac:dyDescent="0.35">
      <c r="A14" s="2" t="s">
        <v>14</v>
      </c>
      <c r="B14" s="3">
        <v>1</v>
      </c>
    </row>
    <row r="15" spans="1:2" x14ac:dyDescent="0.35">
      <c r="A15" s="2" t="s">
        <v>17</v>
      </c>
      <c r="B15" s="3">
        <v>1</v>
      </c>
    </row>
    <row r="16" spans="1:2" x14ac:dyDescent="0.3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1314-51AD-4F91-8173-F4AFD9925719}">
  <dimension ref="A3:B25"/>
  <sheetViews>
    <sheetView workbookViewId="0">
      <selection activeCell="A4" sqref="A4"/>
    </sheetView>
  </sheetViews>
  <sheetFormatPr defaultRowHeight="14.5" x14ac:dyDescent="0.35"/>
  <cols>
    <col min="1" max="1" width="29.453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3">
        <v>1221</v>
      </c>
    </row>
    <row r="5" spans="1:2" x14ac:dyDescent="0.35">
      <c r="A5" s="4" t="s">
        <v>16</v>
      </c>
      <c r="B5" s="3">
        <v>5</v>
      </c>
    </row>
    <row r="6" spans="1:2" x14ac:dyDescent="0.35">
      <c r="A6" s="4" t="s">
        <v>13</v>
      </c>
      <c r="B6" s="3">
        <v>248</v>
      </c>
    </row>
    <row r="7" spans="1:2" x14ac:dyDescent="0.35">
      <c r="A7" s="4" t="s">
        <v>11</v>
      </c>
      <c r="B7" s="3">
        <v>98</v>
      </c>
    </row>
    <row r="8" spans="1:2" x14ac:dyDescent="0.35">
      <c r="A8" s="4" t="s">
        <v>28</v>
      </c>
      <c r="B8" s="3">
        <v>276</v>
      </c>
    </row>
    <row r="9" spans="1:2" x14ac:dyDescent="0.35">
      <c r="A9" s="4" t="s">
        <v>6</v>
      </c>
      <c r="B9" s="3">
        <v>93</v>
      </c>
    </row>
    <row r="10" spans="1:2" x14ac:dyDescent="0.35">
      <c r="A10" s="4" t="s">
        <v>4</v>
      </c>
      <c r="B10" s="3">
        <v>37</v>
      </c>
    </row>
    <row r="11" spans="1:2" x14ac:dyDescent="0.35">
      <c r="A11" s="4" t="s">
        <v>7</v>
      </c>
      <c r="B11" s="3">
        <v>53</v>
      </c>
    </row>
    <row r="12" spans="1:2" x14ac:dyDescent="0.35">
      <c r="A12" s="4" t="s">
        <v>27</v>
      </c>
      <c r="B12" s="3">
        <v>379</v>
      </c>
    </row>
    <row r="13" spans="1:2" x14ac:dyDescent="0.35">
      <c r="A13" s="4" t="s">
        <v>10</v>
      </c>
      <c r="B13" s="3">
        <v>32</v>
      </c>
    </row>
    <row r="14" spans="1:2" x14ac:dyDescent="0.35">
      <c r="A14" s="2" t="s">
        <v>15</v>
      </c>
      <c r="B14" s="3">
        <v>109</v>
      </c>
    </row>
    <row r="15" spans="1:2" x14ac:dyDescent="0.35">
      <c r="A15" s="2" t="s">
        <v>19</v>
      </c>
      <c r="B15" s="3">
        <v>85</v>
      </c>
    </row>
    <row r="16" spans="1:2" x14ac:dyDescent="0.35">
      <c r="A16" s="2" t="s">
        <v>12</v>
      </c>
      <c r="B16" s="3">
        <v>56</v>
      </c>
    </row>
    <row r="17" spans="1:2" x14ac:dyDescent="0.35">
      <c r="A17" s="2" t="s">
        <v>5</v>
      </c>
      <c r="B17" s="3">
        <v>45</v>
      </c>
    </row>
    <row r="18" spans="1:2" x14ac:dyDescent="0.35">
      <c r="A18" s="2" t="s">
        <v>18</v>
      </c>
      <c r="B18" s="3">
        <v>35</v>
      </c>
    </row>
    <row r="19" spans="1:2" x14ac:dyDescent="0.35">
      <c r="A19" s="2" t="s">
        <v>25</v>
      </c>
      <c r="B19" s="3">
        <v>16</v>
      </c>
    </row>
    <row r="20" spans="1:2" x14ac:dyDescent="0.35">
      <c r="A20" s="2" t="s">
        <v>9</v>
      </c>
      <c r="B20" s="3">
        <v>6</v>
      </c>
    </row>
    <row r="21" spans="1:2" x14ac:dyDescent="0.35">
      <c r="A21" s="2" t="s">
        <v>24</v>
      </c>
      <c r="B21" s="3">
        <v>5</v>
      </c>
    </row>
    <row r="22" spans="1:2" x14ac:dyDescent="0.35">
      <c r="A22" s="2" t="s">
        <v>8</v>
      </c>
      <c r="B22" s="3">
        <v>2</v>
      </c>
    </row>
    <row r="23" spans="1:2" x14ac:dyDescent="0.35">
      <c r="A23" s="2" t="s">
        <v>14</v>
      </c>
      <c r="B23" s="3">
        <v>1</v>
      </c>
    </row>
    <row r="24" spans="1:2" x14ac:dyDescent="0.35">
      <c r="A24" s="2" t="s">
        <v>17</v>
      </c>
      <c r="B24" s="3">
        <v>1</v>
      </c>
    </row>
    <row r="25" spans="1:2" x14ac:dyDescent="0.3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6065-9D49-4BF5-B7AC-6E7BFFA11A68}">
  <dimension ref="A3:B21"/>
  <sheetViews>
    <sheetView workbookViewId="0">
      <selection activeCell="A4" sqref="A4"/>
    </sheetView>
  </sheetViews>
  <sheetFormatPr defaultRowHeight="14.5" x14ac:dyDescent="0.35"/>
  <cols>
    <col min="1" max="1" width="26.36328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16</v>
      </c>
      <c r="B4" s="3">
        <v>15</v>
      </c>
    </row>
    <row r="5" spans="1:2" x14ac:dyDescent="0.35">
      <c r="A5" s="4" t="s">
        <v>15</v>
      </c>
      <c r="B5" s="3">
        <v>9</v>
      </c>
    </row>
    <row r="6" spans="1:2" x14ac:dyDescent="0.35">
      <c r="A6" s="4" t="s">
        <v>26</v>
      </c>
      <c r="B6" s="3">
        <v>5</v>
      </c>
    </row>
    <row r="7" spans="1:2" x14ac:dyDescent="0.35">
      <c r="A7" s="4" t="s">
        <v>25</v>
      </c>
      <c r="B7" s="3">
        <v>1</v>
      </c>
    </row>
    <row r="8" spans="1:2" x14ac:dyDescent="0.35">
      <c r="A8" s="2" t="s">
        <v>13</v>
      </c>
      <c r="B8" s="3">
        <v>290</v>
      </c>
    </row>
    <row r="9" spans="1:2" x14ac:dyDescent="0.35">
      <c r="A9" s="2" t="s">
        <v>11</v>
      </c>
      <c r="B9" s="3">
        <v>100</v>
      </c>
    </row>
    <row r="10" spans="1:2" x14ac:dyDescent="0.35">
      <c r="A10" s="2" t="s">
        <v>28</v>
      </c>
      <c r="B10" s="3">
        <v>283</v>
      </c>
    </row>
    <row r="11" spans="1:2" x14ac:dyDescent="0.35">
      <c r="A11" s="2" t="s">
        <v>6</v>
      </c>
      <c r="B11" s="3">
        <v>150</v>
      </c>
    </row>
    <row r="12" spans="1:2" x14ac:dyDescent="0.35">
      <c r="A12" s="2" t="s">
        <v>21</v>
      </c>
      <c r="B12" s="3">
        <v>4</v>
      </c>
    </row>
    <row r="13" spans="1:2" x14ac:dyDescent="0.35">
      <c r="A13" s="2" t="s">
        <v>23</v>
      </c>
      <c r="B13" s="3">
        <v>1</v>
      </c>
    </row>
    <row r="14" spans="1:2" x14ac:dyDescent="0.35">
      <c r="A14" s="2" t="s">
        <v>22</v>
      </c>
      <c r="B14" s="3">
        <v>47</v>
      </c>
    </row>
    <row r="15" spans="1:2" x14ac:dyDescent="0.35">
      <c r="A15" s="2" t="s">
        <v>3</v>
      </c>
      <c r="B15" s="3">
        <v>20</v>
      </c>
    </row>
    <row r="16" spans="1:2" x14ac:dyDescent="0.35">
      <c r="A16" s="2" t="s">
        <v>20</v>
      </c>
      <c r="B16" s="3">
        <v>8</v>
      </c>
    </row>
    <row r="17" spans="1:2" x14ac:dyDescent="0.35">
      <c r="A17" s="2" t="s">
        <v>4</v>
      </c>
      <c r="B17" s="3">
        <v>130</v>
      </c>
    </row>
    <row r="18" spans="1:2" x14ac:dyDescent="0.35">
      <c r="A18" s="2" t="s">
        <v>7</v>
      </c>
      <c r="B18" s="3">
        <v>90</v>
      </c>
    </row>
    <row r="19" spans="1:2" x14ac:dyDescent="0.35">
      <c r="A19" s="2" t="s">
        <v>27</v>
      </c>
      <c r="B19" s="3">
        <v>379</v>
      </c>
    </row>
    <row r="20" spans="1:2" x14ac:dyDescent="0.35">
      <c r="A20" s="2" t="s">
        <v>10</v>
      </c>
      <c r="B20" s="3">
        <v>65</v>
      </c>
    </row>
    <row r="21" spans="1:2" x14ac:dyDescent="0.35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2020-09-01T17:18:12Z</dcterms:created>
  <dcterms:modified xsi:type="dcterms:W3CDTF">2026-09-01T06:03:56Z</dcterms:modified>
</cp:coreProperties>
</file>